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2026" sheetId="1" r:id="rId5"/>
    <sheet state="visible" name="JAN 2026" sheetId="2" r:id="rId6"/>
    <sheet state="visible" name="Dec - March 2025" sheetId="3" r:id="rId7"/>
    <sheet state="visible" name="Sep-2025" sheetId="4" r:id="rId8"/>
    <sheet state="visible" name="OCT -2025" sheetId="5" r:id="rId9"/>
    <sheet state="visible" name="Nov -2025" sheetId="6" r:id="rId10"/>
  </sheets>
  <definedNames/>
  <calcPr/>
</workbook>
</file>

<file path=xl/sharedStrings.xml><?xml version="1.0" encoding="utf-8"?>
<sst xmlns="http://schemas.openxmlformats.org/spreadsheetml/2006/main" count="217" uniqueCount="109">
  <si>
    <t>Date</t>
  </si>
  <si>
    <t>PO Number</t>
  </si>
  <si>
    <t>Supplier Name</t>
  </si>
  <si>
    <t>Supplier Contact</t>
  </si>
  <si>
    <t>Item Description</t>
  </si>
  <si>
    <t>Quantity</t>
  </si>
  <si>
    <t>Unit Price</t>
  </si>
  <si>
    <t>Total Price</t>
  </si>
  <si>
    <t>Received Date</t>
  </si>
  <si>
    <t>Inspection Status</t>
  </si>
  <si>
    <t>Approved By</t>
  </si>
  <si>
    <t>Additional Details</t>
  </si>
  <si>
    <t>Remarks</t>
  </si>
  <si>
    <t>WARRENTY NO.</t>
  </si>
  <si>
    <t>PO001</t>
  </si>
  <si>
    <t>AMAZON BUSINESS</t>
  </si>
  <si>
    <t>S/N</t>
  </si>
  <si>
    <t>Techtree infotech Services</t>
  </si>
  <si>
    <t>AMAZON</t>
  </si>
  <si>
    <t>DEPARTMENT</t>
  </si>
  <si>
    <t>Dell Laptop 14 Plus DB14255 (AMD R5-340 AI, 16GB, 512GB SSD)</t>
  </si>
  <si>
    <t>Dell Usb Mouse</t>
  </si>
  <si>
    <t>₹240+GST</t>
  </si>
  <si>
    <t>₹566.00</t>
  </si>
  <si>
    <t>Passed</t>
  </si>
  <si>
    <t>23/07/2026</t>
  </si>
  <si>
    <t>Chethan</t>
  </si>
  <si>
    <t>CIM/1516/26-27</t>
  </si>
  <si>
    <t>-</t>
  </si>
  <si>
    <t>COMPUTER IT MART</t>
  </si>
  <si>
    <t>PO002</t>
  </si>
  <si>
    <t>Computer Mega Mart inc</t>
  </si>
  <si>
    <t>1 tb ssd,512 gb ssd</t>
  </si>
  <si>
    <t>5900+3950+GST</t>
  </si>
  <si>
    <t>₹11623.00</t>
  </si>
  <si>
    <t>suma and geetha mam system upgrade</t>
  </si>
  <si>
    <t>PO003</t>
  </si>
  <si>
    <t>Patch Cable 1mtr Dlink</t>
  </si>
  <si>
    <t>125.00+GST</t>
  </si>
  <si>
    <t>₹3688.00</t>
  </si>
  <si>
    <t>WD 2TB EXTERNAL HDD</t>
  </si>
  <si>
    <t>Computer IT MART</t>
  </si>
  <si>
    <t>PO004</t>
  </si>
  <si>
    <t>laptop service and battury replace</t>
  </si>
  <si>
    <t>1950+GST</t>
  </si>
  <si>
    <t>₹2301.00</t>
  </si>
  <si>
    <t>24/07/2026</t>
  </si>
  <si>
    <t>Chethan KG</t>
  </si>
  <si>
    <t>WXE2AA5E4C4L</t>
  </si>
  <si>
    <t>PO005</t>
  </si>
  <si>
    <t>Innoverts Network Private Limited</t>
  </si>
  <si>
    <t>EAMIL SUBJECT-Deployment of Sanjib Nahak to Survey of India, Gujarat</t>
  </si>
  <si>
    <t>3V1YJB4</t>
  </si>
  <si>
    <t>BebQ RP7504,intel core i5 ops,dell wireless keyboard and mouse,BenQ DV01k</t>
  </si>
  <si>
    <t>GIS</t>
  </si>
  <si>
    <t>Purchased for DRONE DEPT (AMRUTH PROJ)</t>
  </si>
  <si>
    <t>226000.00+GST</t>
  </si>
  <si>
    <t>Sagar Computers</t>
  </si>
  <si>
    <t>WD MY PASSPORT 5TB HDD</t>
  </si>
  <si>
    <t>WX12DA420X5N</t>
  </si>
  <si>
    <t>₹266680.00</t>
  </si>
  <si>
    <t>Drone team to babu sir</t>
  </si>
  <si>
    <t>NT/24-25/38</t>
  </si>
  <si>
    <t>vertex techno solutions (B) pvt ltd</t>
  </si>
  <si>
    <t>FG-100F / Fortigate Firewall+support</t>
  </si>
  <si>
    <t>401810+GST</t>
  </si>
  <si>
    <t>₹474135.80</t>
  </si>
  <si>
    <t>Card Reader</t>
  </si>
  <si>
    <t>Dell Laptop 14 Plus DB14255 (AMD R5-340 AI, 16GB, 512GB SSD) + Dell Ecoloop Essential Bag</t>
  </si>
  <si>
    <t>2 Laptops (+2 bags)</t>
  </si>
  <si>
    <t>₹74,500 (per laptop)</t>
  </si>
  <si>
    <t>₹1,49,000</t>
  </si>
  <si>
    <t>TTIS/24-25/1028</t>
  </si>
  <si>
    <t>JFJT4C4, FBJT4C4</t>
  </si>
  <si>
    <t>Laptop service + 512gb ssd replace+Dell Wireless mouse</t>
  </si>
  <si>
    <t>4600+650+GST</t>
  </si>
  <si>
    <t>₹6195.00</t>
  </si>
  <si>
    <t>GST Invoice Dell/G-861/2526   Purchased for DRONE DEPT (AMRUTH PROJ)</t>
  </si>
  <si>
    <t>TTIS/24-25/1029</t>
  </si>
  <si>
    <t>Laptop service + 1TB ssd replace+Battery Replace</t>
  </si>
  <si>
    <t>7335+GST</t>
  </si>
  <si>
    <t>₹8655.00</t>
  </si>
  <si>
    <t>TTIS/24-25/1091</t>
  </si>
  <si>
    <t>Digisol cat6 1Mtre patch cable</t>
  </si>
  <si>
    <t>125+Gst</t>
  </si>
  <si>
    <t>₹10178.00</t>
  </si>
  <si>
    <t>Asset Number</t>
  </si>
  <si>
    <t>NTMON-3</t>
  </si>
  <si>
    <t>Benq 22` MONITOR</t>
  </si>
  <si>
    <t>ETR7S01451SL0</t>
  </si>
  <si>
    <t>CHETHAN</t>
  </si>
  <si>
    <t>finace team sneha</t>
  </si>
  <si>
    <t>NTHDD-PJ01</t>
  </si>
  <si>
    <t>WD 1TB Element</t>
  </si>
  <si>
    <t>WX92AB4PNHEL</t>
  </si>
  <si>
    <t>WARRANTY NO.</t>
  </si>
  <si>
    <t>Cochin NHAI Project</t>
  </si>
  <si>
    <t>NTSW002</t>
  </si>
  <si>
    <t>Anvi Tech</t>
  </si>
  <si>
    <t>Speaker</t>
  </si>
  <si>
    <t>ZAC32LS04639</t>
  </si>
  <si>
    <t>Vinod Sir</t>
  </si>
  <si>
    <t>Vidhya Sir Speaker</t>
  </si>
  <si>
    <t>NTAUXCAB</t>
  </si>
  <si>
    <t>AUX Cable</t>
  </si>
  <si>
    <t>NTSW003</t>
  </si>
  <si>
    <t>Tech Tree</t>
  </si>
  <si>
    <t>PenDrive</t>
  </si>
  <si>
    <t>Geeta Ma'am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</si>
</sst>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-&quot;mm&quot;-&quot;yyyy"/>
    <numFmt numFmtId="165" formatCode="d-mmm-yyyy"/>
    <numFmt numFmtId="166" formatCode="dd/mm/yyyy"/>
    <numFmt numFmtId="167" formatCode="[$₹]#,##0.00"/>
    <numFmt numFmtId="168" formatCode="mm/d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theme="1"/>
      <name val="Google Sans Mono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6" xfId="0" applyAlignment="1" applyBorder="1" applyFont="1" applyNumberFormat="1">
      <alignment readingOrder="0"/>
    </xf>
    <xf borderId="1" fillId="0" fontId="2" numFmtId="0" xfId="0" applyAlignment="1" applyBorder="1" applyFont="1">
      <alignment horizontal="center" vertical="center"/>
    </xf>
    <xf borderId="1" fillId="0" fontId="2" numFmtId="0" xfId="0" applyBorder="1" applyFont="1"/>
    <xf borderId="1" fillId="0" fontId="2" numFmtId="167" xfId="0" applyAlignment="1" applyBorder="1" applyFont="1" applyNumberFormat="1">
      <alignment horizontal="center" readingOrder="0" vertical="center"/>
    </xf>
    <xf borderId="1" fillId="0" fontId="2" numFmtId="1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7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2" numFmtId="167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/>
    </xf>
    <xf borderId="1" fillId="0" fontId="2" numFmtId="168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4" xfId="0" applyAlignment="1" applyBorder="1" applyFont="1" applyNumberFormat="1">
      <alignment horizontal="center" readingOrder="0"/>
    </xf>
    <xf borderId="2" fillId="0" fontId="2" numFmtId="4" xfId="0" applyAlignment="1" applyBorder="1" applyFont="1" applyNumberFormat="1">
      <alignment horizontal="center" readingOrder="0" vertical="center"/>
    </xf>
    <xf borderId="1" fillId="0" fontId="2" numFmtId="166" xfId="0" applyAlignment="1" applyBorder="1" applyFont="1" applyNumberFormat="1">
      <alignment horizontal="center" readingOrder="0"/>
    </xf>
    <xf borderId="3" fillId="0" fontId="4" numFmtId="0" xfId="0" applyBorder="1" applyFont="1"/>
    <xf borderId="1" fillId="0" fontId="2" numFmtId="1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3" width="17.0"/>
    <col customWidth="1" min="4" max="4" width="14.38"/>
    <col customWidth="1" min="5" max="5" width="27.63"/>
    <col customWidth="1" min="6" max="6" width="8.38"/>
    <col customWidth="1" min="7" max="7" width="8.75"/>
    <col customWidth="1" min="8" max="8" width="9.38"/>
    <col customWidth="1" min="9" max="9" width="12.38"/>
    <col customWidth="1" min="10" max="10" width="14.88"/>
    <col customWidth="1" min="11" max="11" width="11.38"/>
    <col customWidth="1" min="12" max="12" width="14.88"/>
    <col customWidth="1" min="13" max="13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</v>
      </c>
      <c r="M1" s="1" t="s">
        <v>12</v>
      </c>
      <c r="N1" s="1" t="s">
        <v>19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6" t="s">
        <v>25</v>
      </c>
      <c r="B2" s="5" t="s">
        <v>27</v>
      </c>
      <c r="C2" s="5" t="s">
        <v>29</v>
      </c>
      <c r="D2" s="5">
        <f>918875905003</f>
        <v>918875905003</v>
      </c>
      <c r="E2" s="6" t="s">
        <v>40</v>
      </c>
      <c r="F2" s="5">
        <v>1.0</v>
      </c>
      <c r="G2" s="10">
        <v>10974.0</v>
      </c>
      <c r="H2" s="10">
        <v>10974.0</v>
      </c>
      <c r="I2" s="5" t="s">
        <v>46</v>
      </c>
      <c r="J2" s="5" t="s">
        <v>24</v>
      </c>
      <c r="K2" s="5" t="s">
        <v>47</v>
      </c>
      <c r="L2" s="5" t="s">
        <v>48</v>
      </c>
      <c r="M2" s="6" t="s">
        <v>51</v>
      </c>
      <c r="N2" s="6" t="s">
        <v>54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/>
      <c r="B3" s="6"/>
      <c r="C3" s="6"/>
      <c r="D3" s="14"/>
      <c r="E3" s="6"/>
      <c r="F3" s="6"/>
      <c r="G3" s="15"/>
      <c r="H3" s="15"/>
      <c r="I3" s="4"/>
      <c r="J3" s="5"/>
      <c r="K3" s="5"/>
      <c r="L3" s="1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8"/>
      <c r="B4" s="8"/>
      <c r="C4" s="8"/>
      <c r="D4" s="8"/>
      <c r="E4" s="6"/>
      <c r="F4" s="8"/>
      <c r="G4" s="17"/>
      <c r="H4" s="17"/>
      <c r="I4" s="8"/>
      <c r="J4" s="8"/>
      <c r="K4" s="8"/>
      <c r="L4" s="8"/>
      <c r="M4" s="8"/>
      <c r="N4" s="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8"/>
      <c r="B5" s="8"/>
      <c r="C5" s="8"/>
      <c r="D5" s="8"/>
      <c r="E5" s="8"/>
      <c r="F5" s="8"/>
      <c r="G5" s="17"/>
      <c r="H5" s="17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8"/>
      <c r="B6" s="8"/>
      <c r="C6" s="8"/>
      <c r="D6" s="8"/>
      <c r="E6" s="8"/>
      <c r="F6" s="8"/>
      <c r="G6" s="17"/>
      <c r="H6" s="17"/>
      <c r="I6" s="8"/>
      <c r="J6" s="8"/>
      <c r="K6" s="8"/>
      <c r="L6" s="8"/>
      <c r="M6" s="8"/>
      <c r="N6" s="8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8"/>
      <c r="B7" s="8"/>
      <c r="C7" s="8"/>
      <c r="D7" s="8"/>
      <c r="E7" s="8"/>
      <c r="F7" s="8"/>
      <c r="G7" s="17"/>
      <c r="H7" s="17"/>
      <c r="I7" s="8"/>
      <c r="J7" s="8"/>
      <c r="K7" s="8"/>
      <c r="L7" s="8"/>
      <c r="M7" s="8"/>
      <c r="N7" s="8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8"/>
      <c r="B8" s="8"/>
      <c r="C8" s="8"/>
      <c r="D8" s="8"/>
      <c r="E8" s="8"/>
      <c r="F8" s="8"/>
      <c r="G8" s="17"/>
      <c r="H8" s="17"/>
      <c r="I8" s="8"/>
      <c r="J8" s="8"/>
      <c r="K8" s="8"/>
      <c r="L8" s="8"/>
      <c r="M8" s="8"/>
      <c r="N8" s="8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8"/>
      <c r="B9" s="8"/>
      <c r="C9" s="8"/>
      <c r="D9" s="8"/>
      <c r="E9" s="8"/>
      <c r="F9" s="8"/>
      <c r="G9" s="17"/>
      <c r="H9" s="17"/>
      <c r="I9" s="8"/>
      <c r="J9" s="8"/>
      <c r="K9" s="8"/>
      <c r="L9" s="8"/>
      <c r="M9" s="8"/>
      <c r="N9" s="8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8"/>
      <c r="B10" s="8"/>
      <c r="C10" s="8"/>
      <c r="D10" s="8"/>
      <c r="E10" s="8"/>
      <c r="F10" s="8"/>
      <c r="G10" s="17"/>
      <c r="H10" s="17"/>
      <c r="I10" s="8"/>
      <c r="J10" s="8"/>
      <c r="K10" s="8"/>
      <c r="L10" s="8"/>
      <c r="M10" s="8"/>
      <c r="N10" s="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"/>
      <c r="B11" s="8"/>
      <c r="C11" s="8"/>
      <c r="D11" s="8"/>
      <c r="E11" s="8"/>
      <c r="F11" s="8"/>
      <c r="G11" s="17"/>
      <c r="H11" s="17"/>
      <c r="I11" s="8"/>
      <c r="J11" s="8"/>
      <c r="K11" s="8"/>
      <c r="L11" s="8"/>
      <c r="M11" s="8"/>
      <c r="N11" s="8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8"/>
      <c r="B12" s="8"/>
      <c r="C12" s="8"/>
      <c r="D12" s="8"/>
      <c r="E12" s="8"/>
      <c r="F12" s="8"/>
      <c r="G12" s="17"/>
      <c r="H12" s="17"/>
      <c r="I12" s="8"/>
      <c r="J12" s="8"/>
      <c r="K12" s="8"/>
      <c r="L12" s="8"/>
      <c r="M12" s="8"/>
      <c r="N12" s="8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3" width="17.0"/>
    <col customWidth="1" min="4" max="4" width="14.38"/>
    <col customWidth="1" min="5" max="5" width="27.63"/>
    <col customWidth="1" min="6" max="6" width="8.38"/>
    <col customWidth="1" min="7" max="7" width="8.75"/>
    <col customWidth="1" min="8" max="8" width="9.38"/>
    <col customWidth="1" min="9" max="9" width="12.38"/>
    <col customWidth="1" min="10" max="10" width="14.88"/>
    <col customWidth="1" min="11" max="11" width="11.38"/>
    <col customWidth="1" min="12" max="12" width="14.88"/>
    <col customWidth="1" min="13" max="13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">
        <v>46058.0</v>
      </c>
      <c r="B2" s="5" t="s">
        <v>15</v>
      </c>
      <c r="C2" s="5" t="s">
        <v>15</v>
      </c>
      <c r="D2" s="5" t="s">
        <v>18</v>
      </c>
      <c r="E2" s="6" t="s">
        <v>20</v>
      </c>
      <c r="F2" s="5">
        <v>1.0</v>
      </c>
      <c r="G2" s="8"/>
      <c r="H2" s="8"/>
      <c r="I2" s="11">
        <v>46058.0</v>
      </c>
      <c r="J2" s="5" t="s">
        <v>24</v>
      </c>
      <c r="K2" s="5" t="s">
        <v>26</v>
      </c>
      <c r="L2" s="5" t="s">
        <v>52</v>
      </c>
      <c r="M2" s="6" t="s">
        <v>55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>
        <v>46041.0</v>
      </c>
      <c r="B3" s="6">
        <v>1.022529449E9</v>
      </c>
      <c r="C3" s="6" t="s">
        <v>57</v>
      </c>
      <c r="D3" s="14">
        <f>919978906011</f>
        <v>919978906011</v>
      </c>
      <c r="E3" s="6" t="s">
        <v>68</v>
      </c>
      <c r="F3" s="6" t="s">
        <v>69</v>
      </c>
      <c r="G3" s="6" t="s">
        <v>70</v>
      </c>
      <c r="H3" s="6" t="s">
        <v>71</v>
      </c>
      <c r="I3" s="4">
        <v>46041.0</v>
      </c>
      <c r="J3" s="5" t="s">
        <v>24</v>
      </c>
      <c r="K3" s="5" t="s">
        <v>26</v>
      </c>
      <c r="L3" s="16" t="s">
        <v>73</v>
      </c>
      <c r="M3" s="6" t="s">
        <v>77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8"/>
      <c r="B4" s="8"/>
      <c r="C4" s="8"/>
      <c r="D4" s="8"/>
      <c r="E4" s="6"/>
      <c r="F4" s="8"/>
      <c r="G4" s="8"/>
      <c r="H4" s="8"/>
      <c r="I4" s="8"/>
      <c r="J4" s="8"/>
      <c r="K4" s="8"/>
      <c r="L4" s="8"/>
      <c r="M4" s="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3" max="3" width="20.5"/>
    <col customWidth="1" min="4" max="4" width="14.38"/>
    <col customWidth="1" min="5" max="5" width="15.5"/>
    <col customWidth="1" min="7" max="7" width="13.75"/>
    <col customWidth="1" min="10" max="10" width="14.88"/>
    <col customWidth="1" min="12" max="12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</row>
    <row r="2">
      <c r="A2" s="3">
        <v>45632.0</v>
      </c>
      <c r="B2" s="5" t="s">
        <v>14</v>
      </c>
      <c r="C2" s="6" t="s">
        <v>17</v>
      </c>
      <c r="D2" s="5">
        <v>9.035409479E9</v>
      </c>
      <c r="E2" s="6" t="s">
        <v>21</v>
      </c>
      <c r="F2" s="5">
        <v>2.0</v>
      </c>
      <c r="G2" s="5" t="s">
        <v>22</v>
      </c>
      <c r="H2" s="5" t="s">
        <v>23</v>
      </c>
      <c r="I2" s="3">
        <v>45632.0</v>
      </c>
      <c r="J2" s="5" t="s">
        <v>24</v>
      </c>
      <c r="K2" s="5" t="s">
        <v>26</v>
      </c>
      <c r="L2" s="5" t="s">
        <v>28</v>
      </c>
    </row>
    <row r="3">
      <c r="A3" s="3">
        <v>45636.0</v>
      </c>
      <c r="B3" s="5" t="s">
        <v>30</v>
      </c>
      <c r="C3" s="6" t="s">
        <v>31</v>
      </c>
      <c r="D3" s="5">
        <v>9.739661248E9</v>
      </c>
      <c r="E3" s="6" t="s">
        <v>32</v>
      </c>
      <c r="F3" s="5">
        <v>2.0</v>
      </c>
      <c r="G3" s="5" t="s">
        <v>33</v>
      </c>
      <c r="H3" s="5" t="s">
        <v>34</v>
      </c>
      <c r="I3" s="3">
        <v>45636.0</v>
      </c>
      <c r="J3" s="5" t="s">
        <v>24</v>
      </c>
      <c r="K3" s="5" t="s">
        <v>26</v>
      </c>
      <c r="L3" s="5" t="s">
        <v>35</v>
      </c>
    </row>
    <row r="4">
      <c r="A4" s="3">
        <v>45680.0</v>
      </c>
      <c r="B4" s="5" t="s">
        <v>36</v>
      </c>
      <c r="C4" s="6" t="s">
        <v>17</v>
      </c>
      <c r="D4" s="5">
        <v>9.035409479E9</v>
      </c>
      <c r="E4" s="6" t="s">
        <v>37</v>
      </c>
      <c r="F4" s="5">
        <v>25.0</v>
      </c>
      <c r="G4" s="5" t="s">
        <v>38</v>
      </c>
      <c r="H4" s="5" t="s">
        <v>39</v>
      </c>
      <c r="I4" s="3">
        <v>45680.0</v>
      </c>
      <c r="J4" s="5" t="s">
        <v>24</v>
      </c>
      <c r="K4" s="5" t="s">
        <v>26</v>
      </c>
      <c r="L4" s="8"/>
    </row>
    <row r="5">
      <c r="A5" s="3">
        <v>45701.0</v>
      </c>
      <c r="B5" s="5" t="s">
        <v>42</v>
      </c>
      <c r="C5" s="6" t="s">
        <v>17</v>
      </c>
      <c r="D5" s="5">
        <v>9.035409479E9</v>
      </c>
      <c r="E5" s="6" t="s">
        <v>43</v>
      </c>
      <c r="F5" s="5">
        <v>1.0</v>
      </c>
      <c r="G5" s="5" t="s">
        <v>44</v>
      </c>
      <c r="H5" s="5" t="s">
        <v>45</v>
      </c>
      <c r="I5" s="3">
        <v>45701.0</v>
      </c>
      <c r="J5" s="5" t="s">
        <v>24</v>
      </c>
      <c r="K5" s="5" t="s">
        <v>26</v>
      </c>
      <c r="L5" s="8"/>
    </row>
    <row r="6">
      <c r="A6" s="3">
        <v>45705.0</v>
      </c>
      <c r="B6" s="5" t="s">
        <v>49</v>
      </c>
      <c r="C6" s="6" t="s">
        <v>50</v>
      </c>
      <c r="D6" s="5" t="s">
        <v>28</v>
      </c>
      <c r="E6" s="6" t="s">
        <v>53</v>
      </c>
      <c r="F6" s="5">
        <v>4.0</v>
      </c>
      <c r="G6" s="13" t="s">
        <v>56</v>
      </c>
      <c r="H6" s="5" t="s">
        <v>60</v>
      </c>
      <c r="I6" s="3">
        <v>45705.0</v>
      </c>
      <c r="J6" s="5" t="s">
        <v>24</v>
      </c>
      <c r="K6" s="5" t="s">
        <v>26</v>
      </c>
      <c r="L6" s="8"/>
    </row>
    <row r="7">
      <c r="A7" s="3">
        <v>45710.0</v>
      </c>
      <c r="B7" s="5" t="s">
        <v>62</v>
      </c>
      <c r="C7" s="6" t="s">
        <v>63</v>
      </c>
      <c r="D7" s="5">
        <v>8.61840295E9</v>
      </c>
      <c r="E7" s="5" t="s">
        <v>64</v>
      </c>
      <c r="F7" s="5">
        <v>1.0</v>
      </c>
      <c r="G7" s="5" t="s">
        <v>65</v>
      </c>
      <c r="H7" s="5" t="s">
        <v>66</v>
      </c>
      <c r="I7" s="3">
        <v>45715.0</v>
      </c>
      <c r="J7" s="5" t="s">
        <v>24</v>
      </c>
      <c r="K7" s="5" t="s">
        <v>26</v>
      </c>
      <c r="L7" s="8"/>
    </row>
    <row r="8">
      <c r="A8" s="3">
        <v>45710.0</v>
      </c>
      <c r="B8" s="5" t="s">
        <v>72</v>
      </c>
      <c r="C8" s="6" t="s">
        <v>17</v>
      </c>
      <c r="D8" s="5">
        <v>9.035409479E9</v>
      </c>
      <c r="E8" s="6" t="s">
        <v>74</v>
      </c>
      <c r="F8" s="5">
        <v>2.0</v>
      </c>
      <c r="G8" s="5" t="s">
        <v>75</v>
      </c>
      <c r="H8" s="5" t="s">
        <v>76</v>
      </c>
      <c r="I8" s="3">
        <v>45710.0</v>
      </c>
      <c r="J8" s="5" t="s">
        <v>24</v>
      </c>
      <c r="K8" s="5" t="s">
        <v>26</v>
      </c>
      <c r="L8" s="8"/>
    </row>
    <row r="9">
      <c r="A9" s="3">
        <v>45710.0</v>
      </c>
      <c r="B9" s="5" t="s">
        <v>78</v>
      </c>
      <c r="C9" s="6" t="s">
        <v>17</v>
      </c>
      <c r="D9" s="5">
        <v>9.035409479E9</v>
      </c>
      <c r="E9" s="6" t="s">
        <v>79</v>
      </c>
      <c r="F9" s="5">
        <v>2.0</v>
      </c>
      <c r="G9" s="5" t="s">
        <v>80</v>
      </c>
      <c r="H9" s="5" t="s">
        <v>81</v>
      </c>
      <c r="I9" s="3">
        <v>45710.0</v>
      </c>
      <c r="J9" s="5" t="s">
        <v>24</v>
      </c>
      <c r="K9" s="5" t="s">
        <v>26</v>
      </c>
      <c r="L9" s="8"/>
    </row>
    <row r="10">
      <c r="A10" s="3">
        <v>45729.0</v>
      </c>
      <c r="B10" s="5" t="s">
        <v>82</v>
      </c>
      <c r="C10" s="6" t="s">
        <v>17</v>
      </c>
      <c r="D10" s="5">
        <v>9.035409479E9</v>
      </c>
      <c r="E10" s="6" t="s">
        <v>83</v>
      </c>
      <c r="F10" s="5">
        <v>69.0</v>
      </c>
      <c r="G10" s="5" t="s">
        <v>84</v>
      </c>
      <c r="H10" s="5" t="s">
        <v>85</v>
      </c>
      <c r="I10" s="3">
        <v>45729.0</v>
      </c>
      <c r="J10" s="5" t="s">
        <v>24</v>
      </c>
      <c r="K10" s="5" t="s">
        <v>26</v>
      </c>
      <c r="L1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15.38"/>
    <col customWidth="1" min="4" max="4" width="14.38"/>
    <col customWidth="1" min="5" max="5" width="23.75"/>
    <col customWidth="1" min="6" max="6" width="14.0"/>
    <col customWidth="1" min="10" max="10" width="12.25"/>
    <col customWidth="1" min="11" max="11" width="14.88"/>
    <col customWidth="1" min="13" max="13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</row>
    <row r="2">
      <c r="A2" s="7">
        <v>45904.0</v>
      </c>
      <c r="B2" s="9"/>
      <c r="C2" s="12" t="s">
        <v>41</v>
      </c>
      <c r="D2" s="9"/>
      <c r="E2" s="12" t="s">
        <v>58</v>
      </c>
      <c r="F2" s="12" t="s">
        <v>59</v>
      </c>
      <c r="G2" s="12">
        <v>1.0</v>
      </c>
      <c r="H2" s="12">
        <v>10000.0</v>
      </c>
      <c r="I2" s="12">
        <v>10000.0</v>
      </c>
      <c r="J2" s="7">
        <v>45904.0</v>
      </c>
      <c r="K2" s="5" t="s">
        <v>24</v>
      </c>
      <c r="L2" s="12" t="s">
        <v>26</v>
      </c>
      <c r="M2" s="12" t="s">
        <v>61</v>
      </c>
    </row>
    <row r="3">
      <c r="A3" s="7">
        <v>45904.0</v>
      </c>
      <c r="B3" s="9"/>
      <c r="C3" s="12" t="s">
        <v>41</v>
      </c>
      <c r="D3" s="9"/>
      <c r="E3" s="12" t="s">
        <v>67</v>
      </c>
      <c r="F3" s="9"/>
      <c r="G3" s="12">
        <v>2.0</v>
      </c>
      <c r="H3" s="12">
        <v>190.0</v>
      </c>
      <c r="I3" s="12">
        <v>380.0</v>
      </c>
      <c r="J3" s="7">
        <v>45904.0</v>
      </c>
      <c r="K3" s="5" t="s">
        <v>24</v>
      </c>
      <c r="L3" s="12" t="s">
        <v>26</v>
      </c>
      <c r="M3" s="12" t="s">
        <v>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5.38"/>
    <col customWidth="1" min="4" max="4" width="14.38"/>
    <col customWidth="1" min="5" max="5" width="23.75"/>
    <col customWidth="1" min="6" max="6" width="14.0"/>
    <col customWidth="1" min="10" max="10" width="12.25"/>
    <col customWidth="1" min="11" max="11" width="14.88"/>
    <col customWidth="1" min="13" max="13" width="18.0"/>
  </cols>
  <sheetData>
    <row r="1">
      <c r="A1" s="1" t="s">
        <v>0</v>
      </c>
      <c r="B1" s="1" t="s">
        <v>86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</row>
    <row r="2">
      <c r="A2" s="7">
        <v>45936.0</v>
      </c>
      <c r="B2" s="12" t="s">
        <v>87</v>
      </c>
      <c r="C2" s="12" t="s">
        <v>41</v>
      </c>
      <c r="D2" s="9"/>
      <c r="E2" s="12" t="s">
        <v>88</v>
      </c>
      <c r="F2" s="12" t="s">
        <v>89</v>
      </c>
      <c r="G2" s="12">
        <v>1.0</v>
      </c>
      <c r="H2" s="12">
        <v>6000.0</v>
      </c>
      <c r="I2" s="12">
        <v>7080.0</v>
      </c>
      <c r="J2" s="7">
        <v>45936.0</v>
      </c>
      <c r="K2" s="5" t="s">
        <v>24</v>
      </c>
      <c r="L2" s="12" t="s">
        <v>90</v>
      </c>
      <c r="M2" s="12" t="s">
        <v>91</v>
      </c>
    </row>
    <row r="3">
      <c r="A3" s="7">
        <v>45939.0</v>
      </c>
      <c r="B3" s="12" t="s">
        <v>92</v>
      </c>
      <c r="C3" s="12" t="s">
        <v>41</v>
      </c>
      <c r="D3" s="9"/>
      <c r="E3" s="12" t="s">
        <v>93</v>
      </c>
      <c r="F3" s="12" t="s">
        <v>94</v>
      </c>
      <c r="G3" s="12">
        <v>1.0</v>
      </c>
      <c r="H3" s="12">
        <v>4800.0</v>
      </c>
      <c r="I3" s="12">
        <v>5664.0</v>
      </c>
      <c r="J3" s="7">
        <v>45940.0</v>
      </c>
      <c r="K3" s="5" t="s">
        <v>24</v>
      </c>
      <c r="L3" s="12" t="s">
        <v>90</v>
      </c>
      <c r="M3" s="12" t="s">
        <v>96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5.38"/>
    <col customWidth="1" min="4" max="4" width="14.38"/>
    <col customWidth="1" min="5" max="5" width="23.75"/>
    <col customWidth="1" min="6" max="6" width="14.0"/>
    <col customWidth="1" min="10" max="10" width="12.25"/>
    <col customWidth="1" min="11" max="11" width="14.88"/>
    <col customWidth="1" min="13" max="13" width="18.0"/>
  </cols>
  <sheetData>
    <row r="1">
      <c r="A1" s="1" t="s">
        <v>0</v>
      </c>
      <c r="B1" s="1" t="s">
        <v>86</v>
      </c>
      <c r="C1" s="1" t="s">
        <v>2</v>
      </c>
      <c r="D1" s="1" t="s">
        <v>3</v>
      </c>
      <c r="E1" s="1" t="s">
        <v>4</v>
      </c>
      <c r="F1" s="1" t="s">
        <v>95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19">
        <v>45758.0</v>
      </c>
      <c r="B2" s="20" t="s">
        <v>97</v>
      </c>
      <c r="C2" s="20" t="s">
        <v>98</v>
      </c>
      <c r="D2" s="20">
        <v>7.676954748E9</v>
      </c>
      <c r="E2" s="20" t="s">
        <v>99</v>
      </c>
      <c r="F2" s="20" t="s">
        <v>100</v>
      </c>
      <c r="G2" s="20">
        <v>1.0</v>
      </c>
      <c r="H2" s="21">
        <v>3450.0</v>
      </c>
      <c r="I2" s="22">
        <v>4248.0</v>
      </c>
      <c r="J2" s="23">
        <v>45940.0</v>
      </c>
      <c r="K2" s="20" t="s">
        <v>24</v>
      </c>
      <c r="L2" s="20" t="s">
        <v>101</v>
      </c>
      <c r="M2" s="20" t="s">
        <v>102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19">
        <v>45758.0</v>
      </c>
      <c r="B3" s="20" t="s">
        <v>103</v>
      </c>
      <c r="C3" s="20" t="s">
        <v>98</v>
      </c>
      <c r="D3" s="20">
        <v>7.676954748E9</v>
      </c>
      <c r="E3" s="20" t="s">
        <v>104</v>
      </c>
      <c r="F3" s="20" t="s">
        <v>28</v>
      </c>
      <c r="G3" s="20">
        <v>1.0</v>
      </c>
      <c r="H3" s="20">
        <v>150.0</v>
      </c>
      <c r="I3" s="24"/>
      <c r="J3" s="23">
        <v>45940.0</v>
      </c>
      <c r="K3" s="20" t="s">
        <v>24</v>
      </c>
      <c r="L3" s="20" t="s">
        <v>101</v>
      </c>
      <c r="M3" s="20" t="s">
        <v>102</v>
      </c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>
      <c r="A4" s="25">
        <v>45972.0</v>
      </c>
      <c r="B4" s="20" t="s">
        <v>105</v>
      </c>
      <c r="C4" s="20" t="s">
        <v>106</v>
      </c>
      <c r="D4" s="26"/>
      <c r="E4" s="20" t="s">
        <v>107</v>
      </c>
      <c r="F4" s="20" t="s">
        <v>28</v>
      </c>
      <c r="G4" s="20">
        <v>1.0</v>
      </c>
      <c r="H4" s="20">
        <v>540.0</v>
      </c>
      <c r="I4" s="20">
        <v>540.0</v>
      </c>
      <c r="J4" s="25">
        <v>45972.0</v>
      </c>
      <c r="K4" s="20" t="s">
        <v>24</v>
      </c>
      <c r="L4" s="20" t="s">
        <v>26</v>
      </c>
      <c r="M4" s="20" t="s">
        <v>108</v>
      </c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</sheetData>
  <mergeCells count="1">
    <mergeCell ref="I2:I3"/>
  </mergeCells>
  <drawing r:id="rId1"/>
</worksheet>
</file>